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n"/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0.2554173162498941</v>
      </c>
      <c r="R2" s="33" t="n">
        <v>19</v>
      </c>
      <c r="S2" s="34" t="n">
        <v>0.2379677140501503</v>
      </c>
      <c r="T2" s="34" t="n">
        <v>0.2575648887973883</v>
      </c>
      <c r="U2" s="34" t="n">
        <v>0.8970977067947388</v>
      </c>
      <c r="V2" s="34" t="n">
        <v>0.8448740734459552</v>
      </c>
      <c r="W2" s="33" t="n">
        <v>1.341718951550001</v>
      </c>
      <c r="X2" s="33" t="n">
        <v>163.65869140625</v>
      </c>
      <c r="Y2" s="33" t="b">
        <v>0</v>
      </c>
      <c r="Z2" s="34" t="n">
        <v>0.8963796115418707</v>
      </c>
      <c r="AA2" s="34" t="n">
        <v>0.8484250320507591</v>
      </c>
      <c r="AB2" s="33" t="inlineStr">
        <is>
          <t>figures/base-s1.png</t>
        </is>
      </c>
      <c r="AC2" s="33" t="inlineStr"/>
      <c r="AD2" s="35">
        <f>IF(P2="","",P2-LN(7))</f>
        <v>0.323151639338399</v>
      </c>
      <c r="AE2" s="35">
        <f>IF(OR(T2="",S2=""),"",T2-S2)</f>
        <v>0.019597174747238</v>
      </c>
      <c r="AF2" s="35">
        <f>IF(OR(V2="",Seeds!$C$8=""),"",V2-Seeds!$C$8)</f>
        <v>0.00167328280104051</v>
      </c>
      <c r="AG2" s="35" t="str">
        <f>IF(OR(AF2="",Seeds!$C$10=""),"",IF(ABS(AF2)&gt;Seeds!$C$10,"Có","Không"))</f>
        <v>Không</v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1.978156701881548</v>
      </c>
      <c r="Q3" s="34" t="n">
        <v>0.2486460243310943</v>
      </c>
      <c r="R3" s="33" t="n">
        <v>20</v>
      </c>
      <c r="S3" s="34" t="n">
        <v>0.2280018389409824</v>
      </c>
      <c r="T3" s="34" t="n">
        <v>0.2486460243310943</v>
      </c>
      <c r="U3" s="34" t="n">
        <v>0.9002387523651123</v>
      </c>
      <c r="V3" s="34" t="n">
        <v>0.8384634093307601</v>
      </c>
      <c r="W3" s="33" t="n">
        <v>1.323871057600002</v>
      </c>
      <c r="X3" s="33" t="n">
        <v>163.65869140625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>0.0322465528262352</v>
      </c>
      <c r="AE3" s="35">
        <f>IF(OR(T3="",S3=""),"",T3-S3)</f>
        <v>0.0206441853901118</v>
      </c>
      <c r="AF3" s="35">
        <f>IF(OR(V3="",Seeds!$C$8=""),"",V3-Seeds!$C$8)</f>
        <v>-0.00473738131415458</v>
      </c>
      <c r="AG3" s="35" t="str">
        <f>IF(OR(AF3="",Seeds!$C$10=""),"",IF(ABS(AF3)&gt;Seeds!$C$10,"Có","Không"))</f>
        <v>Không</v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1.900539953068861</v>
      </c>
      <c r="Q4" s="34" t="n">
        <v>0.2399104399785833</v>
      </c>
      <c r="R4" s="33" t="n">
        <v>19</v>
      </c>
      <c r="S4" s="34" t="n">
        <v>0.2465759731520542</v>
      </c>
      <c r="T4" s="34" t="n">
        <v>0.2669959792668981</v>
      </c>
      <c r="U4" s="34" t="n">
        <v>0.9036487936973572</v>
      </c>
      <c r="V4" s="34" t="n">
        <v>0.8462648891580287</v>
      </c>
      <c r="W4" s="33" t="n">
        <v>1.314368996950066</v>
      </c>
      <c r="X4" s="33" t="n">
        <v>163.65869140625</v>
      </c>
      <c r="Y4" s="33" t="b">
        <v>0</v>
      </c>
      <c r="Z4" s="34" t="n">
        <v>0.9027391719663004</v>
      </c>
      <c r="AA4" s="34" t="n">
        <v>0.8526773031573471</v>
      </c>
      <c r="AB4" s="33" t="inlineStr">
        <is>
          <t>figures/base-s3.png</t>
        </is>
      </c>
      <c r="AC4" s="33" t="inlineStr"/>
      <c r="AD4" s="35">
        <f>IF(P4="","",P4-LN(7))</f>
        <v>-0.0453701959864519</v>
      </c>
      <c r="AE4" s="35">
        <f>IF(OR(T4="",S4=""),"",T4-S4)</f>
        <v>0.0204200061148439</v>
      </c>
      <c r="AF4" s="35">
        <f>IF(OR(V4="",Seeds!$C$8=""),"",V4-Seeds!$C$8)</f>
        <v>0.00306409851311396</v>
      </c>
      <c r="AG4" s="35" t="str">
        <f>IF(OR(AF4="",Seeds!$C$10=""),"",IF(ABS(AF4)&gt;Seeds!$C$10,"Có","Không"))</f>
        <v>Không</v>
      </c>
    </row>
    <row r="5" ht="15" customHeight="1" s="20">
      <c r="A5" s="33" t="inlineStr">
        <is>
          <t>opt-adam</t>
        </is>
      </c>
      <c r="B5" s="33" t="inlineStr">
        <is>
          <t>optimizer</t>
        </is>
      </c>
      <c r="C5" s="33" t="inlineStr">
        <is>
          <t>Adam</t>
        </is>
      </c>
      <c r="D5" s="33" t="inlineStr">
        <is>
          <t>ce</t>
        </is>
      </c>
      <c r="E5" s="33" t="inlineStr">
        <is>
          <t>adam</t>
        </is>
      </c>
      <c r="F5" s="33" t="n">
        <v>0.001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0.2420123789607498</v>
      </c>
      <c r="R5" s="33" t="n">
        <v>18</v>
      </c>
      <c r="S5" s="34" t="n">
        <v>0.2287131641645035</v>
      </c>
      <c r="T5" s="34" t="n">
        <v>0.2490901545288666</v>
      </c>
      <c r="U5" s="34" t="n">
        <v>0.9032615423202515</v>
      </c>
      <c r="V5" s="34" t="n">
        <v>0.8436950082034838</v>
      </c>
      <c r="W5" s="33" t="n">
        <v>1.478753872149923</v>
      </c>
      <c r="X5" s="33" t="n">
        <v>163.841796875</v>
      </c>
      <c r="Y5" s="33" t="b">
        <v>0</v>
      </c>
      <c r="Z5" s="34" t="n"/>
      <c r="AA5" s="34" t="n"/>
      <c r="AB5" s="33" t="inlineStr">
        <is>
          <t>figures/opt-adam.png</t>
        </is>
      </c>
      <c r="AC5" s="33" t="inlineStr"/>
      <c r="AD5" s="35">
        <f>IF(P5="","",P5-LN(7))</f>
        <v>0.323151639338399</v>
      </c>
      <c r="AE5" s="35">
        <f>IF(OR(T5="",S5=""),"",T5-S5)</f>
        <v>0.0203769903643631</v>
      </c>
      <c r="AF5" s="35">
        <f>IF(OR(V5="",Seeds!$C$8=""),"",V5-Seeds!$C$8)</f>
        <v>0.000494217558569043</v>
      </c>
      <c r="AG5" s="35" t="str">
        <f>IF(OR(AF5="",Seeds!$C$10=""),"",IF(ABS(AF5)&gt;Seeds!$C$10,"Có","Không"))</f>
        <v>Không</v>
      </c>
    </row>
    <row r="6" ht="15" customHeight="1" s="20">
      <c r="A6" s="33" t="inlineStr">
        <is>
          <t>opt-adamw</t>
        </is>
      </c>
      <c r="B6" s="33" t="inlineStr">
        <is>
          <t>optimizer</t>
        </is>
      </c>
      <c r="C6" s="33" t="inlineStr">
        <is>
          <t>AdamW</t>
        </is>
      </c>
      <c r="D6" s="33" t="inlineStr">
        <is>
          <t>ce</t>
        </is>
      </c>
      <c r="E6" s="33" t="inlineStr">
        <is>
          <t>adamw</t>
        </is>
      </c>
      <c r="F6" s="33" t="n">
        <v>0.001</v>
      </c>
      <c r="G6" s="33" t="n">
        <v>0.0001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0.243717617659383</v>
      </c>
      <c r="R6" s="33" t="n">
        <v>18</v>
      </c>
      <c r="S6" s="34" t="n">
        <v>0.226463432338582</v>
      </c>
      <c r="T6" s="34" t="n">
        <v>0.2469311020249705</v>
      </c>
      <c r="U6" s="34" t="n">
        <v>0.902874231338501</v>
      </c>
      <c r="V6" s="34" t="n">
        <v>0.8444046618205199</v>
      </c>
      <c r="W6" s="33" t="n">
        <v>1.48773261244994</v>
      </c>
      <c r="X6" s="33" t="n">
        <v>163.841796875</v>
      </c>
      <c r="Y6" s="33" t="b">
        <v>0</v>
      </c>
      <c r="Z6" s="34" t="n"/>
      <c r="AA6" s="34" t="n"/>
      <c r="AB6" s="33" t="inlineStr">
        <is>
          <t>figures/opt-adamw.png</t>
        </is>
      </c>
      <c r="AC6" s="33" t="inlineStr"/>
      <c r="AD6" s="35">
        <f>IF(P6="","",P6-LN(7))</f>
        <v>0.323151639338399</v>
      </c>
      <c r="AE6" s="35">
        <f>IF(OR(T6="",S6=""),"",T6-S6)</f>
        <v>0.0204676696863886</v>
      </c>
      <c r="AF6" s="35">
        <f>IF(OR(V6="",Seeds!$C$8=""),"",V6-Seeds!$C$8)</f>
        <v>0.00120387117560516</v>
      </c>
      <c r="AG6" s="35" t="str">
        <f>IF(OR(AF6="",Seeds!$C$10=""),"",IF(ABS(AF6)&gt;Seeds!$C$10,"Có","Không"))</f>
        <v>Không</v>
      </c>
    </row>
    <row r="7" ht="15" customHeight="1" s="20">
      <c r="A7" s="33" t="inlineStr">
        <is>
          <t>dropout-02</t>
        </is>
      </c>
      <c r="B7" s="33" t="inlineStr">
        <is>
          <t>dropout</t>
        </is>
      </c>
      <c r="C7" s="33" t="inlineStr">
        <is>
          <t>Dropout .2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0.2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2.269061788393712</v>
      </c>
      <c r="Q7" s="34" t="n">
        <v>0.3048091264777544</v>
      </c>
      <c r="R7" s="33" t="n">
        <v>20</v>
      </c>
      <c r="S7" s="34" t="n">
        <v>0.2972643038658625</v>
      </c>
      <c r="T7" s="34" t="n">
        <v>0.3048091264777544</v>
      </c>
      <c r="U7" s="34" t="n">
        <v>0.8772509098052979</v>
      </c>
      <c r="V7" s="34" t="n">
        <v>0.7954805631889299</v>
      </c>
      <c r="W7" s="33" t="n">
        <v>1.415011775350081</v>
      </c>
      <c r="X7" s="33" t="n">
        <v>163.65869140625</v>
      </c>
      <c r="Y7" s="33" t="b">
        <v>0</v>
      </c>
      <c r="Z7" s="34" t="n"/>
      <c r="AA7" s="34" t="n"/>
      <c r="AB7" s="33" t="inlineStr">
        <is>
          <t>figures/dropout-02.png</t>
        </is>
      </c>
      <c r="AC7" s="33" t="inlineStr"/>
      <c r="AD7" s="35">
        <f>IF(P7="","",P7-LN(7))</f>
        <v>0.323151639338399</v>
      </c>
      <c r="AE7" s="35">
        <f>IF(OR(T7="",S7=""),"",T7-S7)</f>
        <v>0.00754482261189188</v>
      </c>
      <c r="AF7" s="35">
        <f>IF(OR(V7="",Seeds!$C$8=""),"",V7-Seeds!$C$8)</f>
        <v>-0.0477202274559848</v>
      </c>
      <c r="AG7" s="35" t="str">
        <f>IF(OR(AF7="",Seeds!$C$10=""),"",IF(ABS(AF7)&gt;Seeds!$C$10,"Có","Không"))</f>
        <v>Có</v>
      </c>
    </row>
    <row r="8" ht="15" customHeight="1" s="20">
      <c r="A8" s="33" t="inlineStr">
        <is>
          <t>clip-10</t>
        </is>
      </c>
      <c r="B8" s="33" t="inlineStr">
        <is>
          <t>clipping</t>
        </is>
      </c>
      <c r="C8" s="33" t="inlineStr">
        <is>
          <t>Clip norm 1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1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2.269061788393712</v>
      </c>
      <c r="Q8" s="34" t="n">
        <v>0.2521271574623149</v>
      </c>
      <c r="R8" s="33" t="n">
        <v>19</v>
      </c>
      <c r="S8" s="34" t="n">
        <v>0.2343248422712122</v>
      </c>
      <c r="T8" s="34" t="n">
        <v>0.2559403196900178</v>
      </c>
      <c r="U8" s="34" t="n">
        <v>0.8990017175674438</v>
      </c>
      <c r="V8" s="34" t="n">
        <v>0.8407143445002342</v>
      </c>
      <c r="W8" s="33" t="n">
        <v>1.333168011199973</v>
      </c>
      <c r="X8" s="33" t="n">
        <v>163.65869140625</v>
      </c>
      <c r="Y8" s="33" t="b">
        <v>0</v>
      </c>
      <c r="Z8" s="34" t="n"/>
      <c r="AA8" s="34" t="n"/>
      <c r="AB8" s="33" t="inlineStr">
        <is>
          <t>figures/clip-10.png</t>
        </is>
      </c>
      <c r="AC8" s="33" t="inlineStr"/>
      <c r="AD8" s="35">
        <f>IF(P8="","",P8-LN(7))</f>
        <v>0.323151639338399</v>
      </c>
      <c r="AE8" s="35">
        <f>IF(OR(T8="",S8=""),"",T8-S8)</f>
        <v>0.0216154774188057</v>
      </c>
      <c r="AF8" s="35">
        <f>IF(OR(V8="",Seeds!$C$8=""),"",V8-Seeds!$C$8)</f>
        <v>-0.00248644614468052</v>
      </c>
      <c r="AG8" s="35" t="str">
        <f>IF(OR(AF8="",Seeds!$C$10=""),"",IF(ABS(AF8)&gt;Seeds!$C$10,"Có","Không"))</f>
        <v>Không</v>
      </c>
    </row>
    <row r="9" ht="15" customHeight="1" s="20">
      <c r="A9" s="33" t="inlineStr">
        <is>
          <t>loss-mse</t>
        </is>
      </c>
      <c r="B9" s="33" t="inlineStr">
        <is>
          <t>loss</t>
        </is>
      </c>
      <c r="C9" s="33" t="inlineStr">
        <is>
          <t>MSE one-hot</t>
        </is>
      </c>
      <c r="D9" s="33" t="inlineStr">
        <is>
          <t>mse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0.6358503492396422</v>
      </c>
      <c r="Q9" s="34" t="n">
        <v>0.0324761513442289</v>
      </c>
      <c r="R9" s="33" t="n">
        <v>20</v>
      </c>
      <c r="S9" s="34" t="n">
        <v>0.03164062589456578</v>
      </c>
      <c r="T9" s="34" t="n">
        <v>0.0324761513442289</v>
      </c>
      <c r="U9" s="34" t="n">
        <v>0.8547685742378235</v>
      </c>
      <c r="V9" s="34" t="n">
        <v>0.6834229470799823</v>
      </c>
      <c r="W9" s="33" t="n">
        <v>1.379202147000001</v>
      </c>
      <c r="X9" s="33" t="n">
        <v>163.662109375</v>
      </c>
      <c r="Y9" s="33" t="b">
        <v>0</v>
      </c>
      <c r="Z9" s="34" t="n"/>
      <c r="AA9" s="34" t="n"/>
      <c r="AB9" s="33" t="inlineStr">
        <is>
          <t>figures/loss-mse.png</t>
        </is>
      </c>
      <c r="AC9" s="33" t="inlineStr"/>
      <c r="AD9" s="35">
        <f>IF(P9="","",P9-LN(7))</f>
        <v>-1.31005979981567</v>
      </c>
      <c r="AE9" s="35">
        <f>IF(OR(T9="",S9=""),"",T9-S9)</f>
        <v>0.000835525449663116</v>
      </c>
      <c r="AF9" s="35">
        <f>IF(OR(V9="",Seeds!$C$8=""),"",V9-Seeds!$C$8)</f>
        <v>-0.159777843564932</v>
      </c>
      <c r="AG9" s="35" t="str">
        <f>IF(OR(AF9="",Seeds!$C$10=""),"",IF(ABS(AF9)&gt;Seeds!$C$10,"Có","Không"))</f>
        <v>Có</v>
      </c>
    </row>
    <row r="10" ht="15" customHeight="1" s="20">
      <c r="A10" s="33" t="inlineStr">
        <is>
          <t>init-xavier</t>
        </is>
      </c>
      <c r="B10" s="33" t="inlineStr">
        <is>
          <t>init</t>
        </is>
      </c>
      <c r="C10" s="33" t="inlineStr">
        <is>
          <t>Xavier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xavier</t>
        </is>
      </c>
      <c r="O10" s="33" t="n">
        <v>1</v>
      </c>
      <c r="P10" s="34" t="n">
        <v>2.022176189935135</v>
      </c>
      <c r="Q10" s="34" t="n">
        <v>0.2590398974135601</v>
      </c>
      <c r="R10" s="33" t="n">
        <v>20</v>
      </c>
      <c r="S10" s="34" t="n">
        <v>0.2408537145685507</v>
      </c>
      <c r="T10" s="34" t="n">
        <v>0.2590398974135601</v>
      </c>
      <c r="U10" s="34" t="n">
        <v>0.8957207798957825</v>
      </c>
      <c r="V10" s="34" t="n">
        <v>0.8408894198275606</v>
      </c>
      <c r="W10" s="33" t="n">
        <v>1.346243804699998</v>
      </c>
      <c r="X10" s="33" t="n">
        <v>163.65869140625</v>
      </c>
      <c r="Y10" s="33" t="b">
        <v>0</v>
      </c>
      <c r="Z10" s="34" t="n"/>
      <c r="AA10" s="34" t="n"/>
      <c r="AB10" s="33" t="inlineStr">
        <is>
          <t>figures/init-xavier.png</t>
        </is>
      </c>
      <c r="AC10" s="33" t="inlineStr"/>
      <c r="AD10" s="35">
        <f>IF(P10="","",P10-LN(7))</f>
        <v>0.0762660408798215</v>
      </c>
      <c r="AE10" s="35">
        <f>IF(OR(T10="",S10=""),"",T10-S10)</f>
        <v>0.0181861828450094</v>
      </c>
      <c r="AF10" s="35">
        <f>IF(OR(V10="",Seeds!$C$8=""),"",V10-Seeds!$C$8)</f>
        <v>-0.00231137081735411</v>
      </c>
      <c r="AG10" s="35" t="str">
        <f>IF(OR(AF10="",Seeds!$C$10=""),"",IF(ABS(AF10)&gt;Seeds!$C$10,"Có","Không"))</f>
        <v>Không</v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>0.897097706794739</v>
      </c>
      <c r="C2" s="35">
        <f>IF($A2="","",IFERROR(IF(INDEX(Experiments!$V$2:$V$61,MATCH($A2,Experiments!$A$2:$A$61,0))="","",INDEX(Experiments!$V$2:$V$61,MATCH($A2,Experiments!$A$2:$A$61,0))),""))</f>
        <v>0.844874073445955</v>
      </c>
      <c r="D2" s="35">
        <f>IF($A2="","",IFERROR(IF(INDEX(Experiments!$Q$2:$Q$61,MATCH($A2,Experiments!$A$2:$A$61,0))="","",INDEX(Experiments!$Q$2:$Q$61,MATCH($A2,Experiments!$A$2:$A$61,0))),""))</f>
        <v>0.255417316249894</v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>0.900238752365112</v>
      </c>
      <c r="C3" s="35">
        <f>IF($A3="","",IFERROR(IF(INDEX(Experiments!$V$2:$V$61,MATCH($A3,Experiments!$A$2:$A$61,0))="","",INDEX(Experiments!$V$2:$V$61,MATCH($A3,Experiments!$A$2:$A$61,0))),""))</f>
        <v>0.83846340933076</v>
      </c>
      <c r="D3" s="35">
        <f>IF($A3="","",IFERROR(IF(INDEX(Experiments!$Q$2:$Q$61,MATCH($A3,Experiments!$A$2:$A$61,0))="","",INDEX(Experiments!$Q$2:$Q$61,MATCH($A3,Experiments!$A$2:$A$61,0))),""))</f>
        <v>0.248646024331094</v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>0.903648793697357</v>
      </c>
      <c r="C4" s="35">
        <f>IF($A4="","",IFERROR(IF(INDEX(Experiments!$V$2:$V$61,MATCH($A4,Experiments!$A$2:$A$61,0))="","",INDEX(Experiments!$V$2:$V$61,MATCH($A4,Experiments!$A$2:$A$61,0))),""))</f>
        <v>0.846264889158029</v>
      </c>
      <c r="D4" s="35">
        <f>IF($A4="","",IFERROR(IF(INDEX(Experiments!$Q$2:$Q$61,MATCH($A4,Experiments!$A$2:$A$61,0))="","",INDEX(Experiments!$Q$2:$Q$61,MATCH($A4,Experiments!$A$2:$A$61,0))),""))</f>
        <v>0.239910439978583</v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>0.900328417619069</v>
      </c>
      <c r="C8" s="35">
        <f>IF(COUNT(C2:C6)=0,"",AVERAGE(C2:C6))</f>
        <v>0.843200790644915</v>
      </c>
      <c r="D8" s="35">
        <f>IF(COUNT(D2:D6)=0,"",AVERAGE(D2:D6))</f>
        <v>0.247991260186524</v>
      </c>
    </row>
    <row r="9" ht="15" customHeight="1" s="20">
      <c r="A9" s="36" t="inlineStr">
        <is>
          <t>std (mẫu)</t>
        </is>
      </c>
      <c r="B9" s="35">
        <f>IF(COUNT(B2:B6)&lt;2,"",STDEV(B2:B6))</f>
        <v>0.00327646376368487</v>
      </c>
      <c r="C9" s="35">
        <f>IF(COUNT(C2:C6)&lt;2,"",STDEV(C2:C6))</f>
        <v>0.00416121116659718</v>
      </c>
      <c r="D9" s="35">
        <f>IF(COUNT(D2:D6)&lt;2,"",STDEV(D2:D6))</f>
        <v>0.00777414561139657</v>
      </c>
    </row>
    <row r="10" ht="15" customHeight="1" s="20">
      <c r="A10" s="36" t="inlineStr">
        <is>
          <t>2σ (ngưỡng nhiễu)</t>
        </is>
      </c>
      <c r="B10" s="35">
        <f>IF(B9="","",2*B9)</f>
        <v>0.00655292752736973</v>
      </c>
      <c r="C10" s="35">
        <f>IF(C9="","",2*C9)</f>
        <v>0.00832242233319435</v>
      </c>
      <c r="D10" s="35">
        <f>IF(D9="","",2*D9)</f>
        <v>0.0155482912227931</v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>3</v>
      </c>
      <c r="C2" s="37">
        <f>COUNTIFS(Experiments!$B$2:$B$61,A2,Experiments!$V$2:$V$61,"&lt;&gt;")</f>
        <v>3</v>
      </c>
      <c r="D2" s="35">
        <f>IF(C2=0,"",_xlfn.MAXIFS(Experiments!$V$2:$V$61,Experiments!$B$2:$B$61,A2))</f>
        <v>0.846264889158029</v>
      </c>
      <c r="E2" s="35">
        <f>IF(C2=0,"",_xlfn.MINIFS(Experiments!$V$2:$V$61,Experiments!$B$2:$B$61,A2))</f>
        <v>0.83846340933076</v>
      </c>
      <c r="F2" s="35">
        <f>IF(C2=0,"",_xlfn.MAXIFS(Experiments!$U$2:$U$61,Experiments!$B$2:$B$61,A2))</f>
        <v>0.903648793697357</v>
      </c>
      <c r="G2" s="37" t="inlineStr">
        <is>
          <t>—</t>
        </is>
      </c>
      <c r="H2" s="38" t="inlineStr">
        <is>
          <t>3 seed; val macro-F1 = 0,8432 ± 0,0042.</t>
        </is>
      </c>
    </row>
    <row r="3" ht="15" customHeight="1" s="20">
      <c r="A3" s="31" t="inlineStr">
        <is>
          <t>loss</t>
        </is>
      </c>
      <c r="B3" s="37">
        <f>COUNTIF(Experiments!$B$2:$B$61,A3)</f>
        <v>1</v>
      </c>
      <c r="C3" s="37">
        <f>COUNTIFS(Experiments!$B$2:$B$61,A3,Experiments!$V$2:$V$61,"&lt;&gt;")</f>
        <v>1</v>
      </c>
      <c r="D3" s="35">
        <f>IF(C3=0,"",_xlfn.MAXIFS(Experiments!$V$2:$V$61,Experiments!$B$2:$B$61,A3))</f>
        <v>0.683422947079982</v>
      </c>
      <c r="E3" s="35">
        <f>IF(C3=0,"",_xlfn.MINIFS(Experiments!$V$2:$V$61,Experiments!$B$2:$B$61,A3))</f>
        <v>0.683422947079982</v>
      </c>
      <c r="F3" s="35">
        <f>IF(C3=0,"",_xlfn.MAXIFS(Experiments!$U$2:$U$61,Experiments!$B$2:$B$61,A3))</f>
        <v>0.854768574237823</v>
      </c>
      <c r="G3" s="37" t="str">
        <f>IF(C3&gt;0,"Có","Chưa")</f>
        <v>Có</v>
      </c>
      <c r="H3" s="38" t="inlineStr">
        <is>
          <t>CE vượt MSE rõ rệt; chênh lệch vượt 2σ.</t>
        </is>
      </c>
    </row>
    <row r="4" ht="15" customHeight="1" s="20">
      <c r="A4" s="31" t="inlineStr">
        <is>
          <t>optimizer</t>
        </is>
      </c>
      <c r="B4" s="37">
        <f>COUNTIF(Experiments!$B$2:$B$61,A4)</f>
        <v>2</v>
      </c>
      <c r="C4" s="37">
        <f>COUNTIFS(Experiments!$B$2:$B$61,A4,Experiments!$V$2:$V$61,"&lt;&gt;")</f>
        <v>2</v>
      </c>
      <c r="D4" s="35">
        <f>IF(C4=0,"",_xlfn.MAXIFS(Experiments!$V$2:$V$61,Experiments!$B$2:$B$61,A4))</f>
        <v>0.84440466182052</v>
      </c>
      <c r="E4" s="35">
        <f>IF(C4=0,"",_xlfn.MINIFS(Experiments!$V$2:$V$61,Experiments!$B$2:$B$61,A4))</f>
        <v>0.843695008203484</v>
      </c>
      <c r="F4" s="35">
        <f>IF(C4=0,"",_xlfn.MAXIFS(Experiments!$U$2:$U$61,Experiments!$B$2:$B$61,A4))</f>
        <v>0.903261542320251</v>
      </c>
      <c r="G4" s="37" t="str">
        <f>IF(C4&gt;0,"Có","Chưa")</f>
        <v>Có</v>
      </c>
      <c r="H4" s="38" t="inlineStr">
        <is>
          <t>SGD/Adam/AdamW nằm trong nhiễu; LR chưa sweep công bằng.</t>
        </is>
      </c>
    </row>
    <row r="5" ht="15" customHeight="1" s="20">
      <c r="A5" s="31" t="inlineStr">
        <is>
          <t>hparam</t>
        </is>
      </c>
      <c r="B5" s="37">
        <f>COUNTIF(Experiments!$B$2:$B$61,A5)</f>
        <v>0</v>
      </c>
      <c r="C5" s="37">
        <f>COUNTIFS(Experiments!$B$2:$B$61,A5,Experiments!$V$2:$V$61,"&lt;&gt;")</f>
        <v>0</v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 t="str">
        <f>IF(C5&gt;0,"Có","Chưa")</f>
        <v>Chưa</v>
      </c>
      <c r="H5" s="38" t="inlineStr">
        <is>
          <t>Chưa thực hiện thí nghiệm riêng.</t>
        </is>
      </c>
    </row>
    <row r="6" ht="15" customHeight="1" s="20">
      <c r="A6" s="31" t="inlineStr">
        <is>
          <t>dropout</t>
        </is>
      </c>
      <c r="B6" s="37">
        <f>COUNTIF(Experiments!$B$2:$B$61,A6)</f>
        <v>1</v>
      </c>
      <c r="C6" s="37">
        <f>COUNTIFS(Experiments!$B$2:$B$61,A6,Experiments!$V$2:$V$61,"&lt;&gt;")</f>
        <v>1</v>
      </c>
      <c r="D6" s="35">
        <f>IF(C6=0,"",_xlfn.MAXIFS(Experiments!$V$2:$V$61,Experiments!$B$2:$B$61,A6))</f>
        <v>0.79548056318893</v>
      </c>
      <c r="E6" s="35">
        <f>IF(C6=0,"",_xlfn.MINIFS(Experiments!$V$2:$V$61,Experiments!$B$2:$B$61,A6))</f>
        <v>0.79548056318893</v>
      </c>
      <c r="F6" s="35">
        <f>IF(C6=0,"",_xlfn.MAXIFS(Experiments!$U$2:$U$61,Experiments!$B$2:$B$61,A6))</f>
        <v>0.877250909805298</v>
      </c>
      <c r="G6" s="37" t="str">
        <f>IF(C6&gt;0,"Có","Chưa")</f>
        <v>Có</v>
      </c>
      <c r="H6" s="38" t="inlineStr">
        <is>
          <t>Dropout 0,2 gây underfitting và giảm macro-F1.</t>
        </is>
      </c>
    </row>
    <row r="7" ht="15" customHeight="1" s="20">
      <c r="A7" s="31" t="inlineStr">
        <is>
          <t>clipping</t>
        </is>
      </c>
      <c r="B7" s="37">
        <f>COUNTIF(Experiments!$B$2:$B$61,A7)</f>
        <v>1</v>
      </c>
      <c r="C7" s="37">
        <f>COUNTIFS(Experiments!$B$2:$B$61,A7,Experiments!$V$2:$V$61,"&lt;&gt;")</f>
        <v>1</v>
      </c>
      <c r="D7" s="35">
        <f>IF(C7=0,"",_xlfn.MAXIFS(Experiments!$V$2:$V$61,Experiments!$B$2:$B$61,A7))</f>
        <v>0.840714344500234</v>
      </c>
      <c r="E7" s="35">
        <f>IF(C7=0,"",_xlfn.MINIFS(Experiments!$V$2:$V$61,Experiments!$B$2:$B$61,A7))</f>
        <v>0.840714344500234</v>
      </c>
      <c r="F7" s="35">
        <f>IF(C7=0,"",_xlfn.MAXIFS(Experiments!$U$2:$U$61,Experiments!$B$2:$B$61,A7))</f>
        <v>0.899001717567444</v>
      </c>
      <c r="G7" s="37" t="str">
        <f>IF(C7&gt;0,"Có","Chưa")</f>
        <v>Có</v>
      </c>
      <c r="H7" s="38" t="inlineStr">
        <is>
          <t>Clip norm 1 không cải thiện tại LR 0,05.</t>
        </is>
      </c>
    </row>
    <row r="8" ht="15" customHeight="1" s="20">
      <c r="A8" s="31" t="inlineStr">
        <is>
          <t>amp</t>
        </is>
      </c>
      <c r="B8" s="37">
        <f>COUNTIF(Experiments!$B$2:$B$61,A8)</f>
        <v>0</v>
      </c>
      <c r="C8" s="37">
        <f>COUNTIFS(Experiments!$B$2:$B$61,A8,Experiments!$V$2:$V$61,"&lt;&gt;")</f>
        <v>0</v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 t="str">
        <f>IF(C8&gt;0,"Có","Chưa")</f>
        <v>Chưa</v>
      </c>
      <c r="H8" s="38" t="inlineStr">
        <is>
          <t>Chưa thực hiện thí nghiệm FP16/BF16.</t>
        </is>
      </c>
    </row>
    <row r="9" ht="15" customHeight="1" s="20">
      <c r="A9" s="31" t="inlineStr">
        <is>
          <t>init</t>
        </is>
      </c>
      <c r="B9" s="37">
        <f>COUNTIF(Experiments!$B$2:$B$61,A9)</f>
        <v>1</v>
      </c>
      <c r="C9" s="37">
        <f>COUNTIFS(Experiments!$B$2:$B$61,A9,Experiments!$V$2:$V$61,"&lt;&gt;")</f>
        <v>1</v>
      </c>
      <c r="D9" s="35">
        <f>IF(C9=0,"",_xlfn.MAXIFS(Experiments!$V$2:$V$61,Experiments!$B$2:$B$61,A9))</f>
        <v>0.840889419827561</v>
      </c>
      <c r="E9" s="35">
        <f>IF(C9=0,"",_xlfn.MINIFS(Experiments!$V$2:$V$61,Experiments!$B$2:$B$61,A9))</f>
        <v>0.840889419827561</v>
      </c>
      <c r="F9" s="35">
        <f>IF(C9=0,"",_xlfn.MAXIFS(Experiments!$U$2:$U$61,Experiments!$B$2:$B$61,A9))</f>
        <v>0.895720779895782</v>
      </c>
      <c r="G9" s="37" t="str">
        <f>IF(C9&gt;0,"Có","Chưa")</f>
        <v>Có</v>
      </c>
      <c r="H9" s="38" t="inlineStr">
        <is>
          <t>He và Xavier khác biệt trong phạm vi nhiễu.</t>
        </is>
      </c>
    </row>
    <row r="10" ht="15" customHeight="1" s="20">
      <c r="A10" s="31" t="inlineStr">
        <is>
          <t>final</t>
        </is>
      </c>
      <c r="B10" s="37">
        <f>COUNTIF(Experiments!$B$2:$B$61,A10)</f>
        <v>0</v>
      </c>
      <c r="C10" s="37">
        <f>COUNTIFS(Experiments!$B$2:$B$61,A10,Experiments!$V$2:$V$61,"&lt;&gt;")</f>
        <v>0</v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Chọn base-s3 hoàn toàn bằng validation.</t>
        </is>
      </c>
    </row>
    <row r="11" ht="15" customHeight="1" s="20">
      <c r="A11" s="31" t="inlineStr">
        <is>
          <t>other</t>
        </is>
      </c>
      <c r="B11" s="37">
        <f>COUNTIF(Experiments!$B$2:$B$61,A11)</f>
        <v>0</v>
      </c>
      <c r="C11" s="37">
        <f>COUNTIFS(Experiments!$B$2:$B$61,A11,Experiments!$V$2:$V$61,"&lt;&gt;")</f>
        <v>0</v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Không có.</t>
        </is>
      </c>
    </row>
    <row r="13" ht="15" customHeight="1" s="20">
      <c r="A13" s="23" t="inlineStr">
        <is>
          <t>Số chủ đề (trong 7) đã thử:</t>
        </is>
      </c>
      <c r="D13" s="23">
        <f>COUNTIF(G2:G11,"Có")</f>
        <v>5</v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2026-10-03T06:46:45Z</dcterms:modified>
  <cp:revision>0</cp:revision>
</cp:coreProperties>
</file>